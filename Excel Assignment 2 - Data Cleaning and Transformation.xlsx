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 Analatics\ASSIGNMENT\"/>
    </mc:Choice>
  </mc:AlternateContent>
  <xr:revisionPtr revIDLastSave="0" documentId="13_ncr:1_{E717B70B-797D-4E01-8B89-07BF61E88B6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C3BB2F-9EEA-4939-90FE-FE0BA825B59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8DD8BE6-D238-4F58-96FD-7A3DE961258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<sst xmlns="http://schemas.openxmlformats.org/spreadsheetml/2006/main" count="305" uniqueCount="134">
  <si>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</si>
  <si>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</si>
  <si>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</si>
  <si>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</si>
  <si>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</si>
  <si>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</si>
  <si>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</si>
  <si>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</si>
  <si>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</si>
  <si>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</si>
  <si>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</si>
  <si>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</si>
  <si>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</si>
  <si>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</si>
  <si>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</si>
  <si>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</si>
  <si>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</si>
  <si>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</si>
  <si>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</si>
  <si>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</si>
  <si>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</si>
  <si>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</si>
  <si>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</si>
  <si>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</si>
  <si>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</si>
  <si>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</si>
  <si>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</si>
  <si>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</si>
  <si>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</si>
  <si>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</si>
  <si>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</si>
  <si>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</si>
  <si>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</si>
  <si>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</si>
  <si>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</si>
  <si>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</si>
  <si>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</si>
  <si>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</si>
  <si>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</si>
  <si>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</si>
  <si>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</si>
  <si>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</si>
  <si>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</si>
  <si>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</si>
  <si>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</si>
  <si>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</si>
  <si>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</si>
  <si>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</si>
  <si>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</si>
  <si>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</si>
  <si>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</si>
  <si>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</si>
  <si>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</si>
  <si>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</si>
  <si>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</si>
  <si>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</si>
  <si>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</si>
  <si>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</si>
  <si>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</si>
  <si>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</si>
  <si>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</si>
  <si>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</si>
  <si>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</si>
  <si>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</si>
  <si>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</si>
  <si>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</si>
  <si>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</si>
  <si>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</si>
  <si>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</si>
  <si>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</si>
  <si>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</si>
  <si>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</si>
  <si>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</si>
  <si>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</si>
  <si>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</si>
  <si>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</si>
  <si>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</si>
  <si>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</si>
  <si>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</si>
  <si>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</si>
  <si>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</si>
  <si>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</si>
  <si>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</si>
  <si>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</si>
  <si>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</si>
  <si>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</si>
  <si>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</si>
  <si>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</si>
  <si>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</si>
  <si>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</si>
  <si>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</si>
  <si>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</si>
  <si>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</si>
  <si>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</si>
  <si>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</si>
  <si>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</si>
  <si>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</si>
  <si>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</si>
  <si>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</si>
  <si>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</si>
  <si>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</si>
  <si>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</si>
  <si>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</si>
  <si>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</si>
  <si>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</si>
  <si>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</si>
  <si>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</si>
  <si>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</si>
  <si>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</si>
  <si>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</si>
  <si>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</si>
  <si>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</si>
  <si>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</si>
  <si>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</si>
  <si>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</si>
  <si>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</si>
  <si>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Checking the missing value_price</t>
  </si>
  <si>
    <t>Price impute</t>
  </si>
  <si>
    <t>Category Impute</t>
  </si>
  <si>
    <t>Manufacturing Date</t>
  </si>
  <si>
    <t>Country code</t>
  </si>
  <si>
    <t>Product Brand</t>
  </si>
  <si>
    <t>Currency</t>
  </si>
  <si>
    <t>power query editor</t>
  </si>
  <si>
    <t>merging_CONCAT</t>
  </si>
  <si>
    <t>RIGHT_LEN</t>
  </si>
  <si>
    <t>LEFT_LEN</t>
  </si>
  <si>
    <t xml:space="preserve"> </t>
  </si>
  <si>
    <t>Q1</t>
  </si>
  <si>
    <t>Q1_Q6</t>
  </si>
  <si>
    <t>Q2</t>
  </si>
  <si>
    <t>Q1_Q2_Q6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</si>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</sst>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39997558519241921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5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5" fillId="5" borderId="1" xfId="0" applyFont="1" applyFill="1" applyBorder="1"/>
    <xf numFmtId="0" fontId="5" fillId="4" borderId="1" xfId="0" applyFont="1" applyFill="1" applyBorder="1"/>
    <xf numFmtId="0" fontId="8" fillId="6" borderId="1" xfId="0" applyFont="1" applyFill="1" applyBorder="1"/>
    <xf numFmtId="0" fontId="8" fillId="4" borderId="1" xfId="0" applyFont="1" applyFill="1" applyBorder="1"/>
    <xf numFmtId="164" fontId="5" fillId="4" borderId="1" xfId="0" applyNumberFormat="1" applyFont="1" applyFill="1" applyBorder="1"/>
    <xf numFmtId="14" fontId="8" fillId="7" borderId="1" xfId="0" applyNumberFormat="1" applyFont="1" applyFill="1" applyBorder="1"/>
    <xf numFmtId="164" fontId="5" fillId="5" borderId="1" xfId="0" applyNumberFormat="1" applyFont="1" applyFill="1" applyBorder="1"/>
    <xf numFmtId="14" fontId="8" fillId="4" borderId="1" xfId="0" applyNumberFormat="1" applyFont="1" applyFill="1" applyBorder="1"/>
    <xf numFmtId="0" fontId="7" fillId="8" borderId="1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5" borderId="0" xfId="0" applyFont="1" applyFill="1" applyBorder="1"/>
  </cellXfs>
  <cellStyles count="1">
    <cellStyle name="Normal" xfId="0" builtinId="0"/>
  </cellStyles>
  <dxfs count="8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L19" sqref="L19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G18" sqref="G18"/>
    </sheetView>
  </sheetViews>
  <sheetFormatPr defaultColWidth="12.5703125" defaultRowHeight="15" customHeight="1" x14ac:dyDescent="0.2"/>
  <cols>
    <col min="1" max="1" width="12.5703125" customWidth="1"/>
    <col min="2" max="2" width="14" bestFit="1" customWidth="1"/>
    <col min="3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0A05-6120-4F2E-8F53-68D0FD2FD26A}">
  <dimension ref="A1:N37"/>
  <sheetViews>
    <sheetView tabSelected="1" topLeftCell="E1" workbookViewId="0">
      <selection activeCell="N27" sqref="N27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2.28515625" bestFit="1" customWidth="1"/>
    <col min="7" max="7" width="31.7109375" bestFit="1" customWidth="1"/>
    <col min="8" max="8" width="13.7109375" bestFit="1" customWidth="1"/>
    <col min="9" max="9" width="29.28515625" bestFit="1" customWidth="1"/>
    <col min="10" max="10" width="19" bestFit="1" customWidth="1"/>
    <col min="11" max="11" width="13.140625" bestFit="1" customWidth="1"/>
    <col min="12" max="12" width="21.7109375" bestFit="1" customWidth="1"/>
    <col min="13" max="13" width="12.85546875" bestFit="1" customWidth="1"/>
    <col min="14" max="14" width="23.5703125" bestFit="1" customWidth="1"/>
  </cols>
  <sheetData>
    <row r="1" spans="1:14" x14ac:dyDescent="0.2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116</v>
      </c>
      <c r="H1" s="21" t="s">
        <v>117</v>
      </c>
      <c r="I1" s="21" t="s">
        <v>118</v>
      </c>
      <c r="J1" s="21" t="s">
        <v>119</v>
      </c>
      <c r="K1" s="21" t="s">
        <v>120</v>
      </c>
      <c r="L1" s="21" t="s">
        <v>121</v>
      </c>
      <c r="M1" s="21" t="s">
        <v>122</v>
      </c>
      <c r="N1" s="21" t="s">
        <v>119</v>
      </c>
    </row>
    <row r="2" spans="1:14" x14ac:dyDescent="0.2">
      <c r="A2" s="9" t="s">
        <v>25</v>
      </c>
      <c r="B2" s="9" t="s">
        <v>61</v>
      </c>
      <c r="C2" s="9" t="s">
        <v>27</v>
      </c>
      <c r="D2" s="9">
        <v>1000</v>
      </c>
      <c r="E2" s="9">
        <v>30</v>
      </c>
      <c r="F2" s="9" t="s">
        <v>28</v>
      </c>
      <c r="G2" s="10" t="b">
        <f t="shared" ref="G2:G32" si="0">ISBLANK(D2)</f>
        <v>0</v>
      </c>
      <c r="H2" s="11">
        <f t="shared" ref="H2:H32" si="1">IF(ISBLANK(D2),AVERAGE($D$2:$D$36),D2)</f>
        <v>1000</v>
      </c>
      <c r="I2" s="12" t="str">
        <f t="shared" ref="I2:I32" si="2">IF(ISBLANK(F2),"Unknown",F2)</f>
        <v>Electronics</v>
      </c>
      <c r="J2" s="15" t="str">
        <f t="shared" ref="J2:J32" si="3">LEFT(A2,LEN(A2)-3)</f>
        <v>28-JAN</v>
      </c>
      <c r="K2" s="10" t="str">
        <f>RIGHT(A2,LEN(A2)-7)</f>
        <v>US</v>
      </c>
      <c r="L2" s="10" t="str">
        <f>_xlfn.CONCAT(B2," ",C2)</f>
        <v>Laptop Dell</v>
      </c>
      <c r="M2" s="17">
        <v>1000</v>
      </c>
      <c r="N2" s="18">
        <v>46050</v>
      </c>
    </row>
    <row r="3" spans="1:14" x14ac:dyDescent="0.2">
      <c r="A3" s="13" t="s">
        <v>29</v>
      </c>
      <c r="B3" s="13" t="s">
        <v>30</v>
      </c>
      <c r="C3" s="13" t="s">
        <v>31</v>
      </c>
      <c r="D3" s="13">
        <v>80</v>
      </c>
      <c r="E3" s="13">
        <v>15</v>
      </c>
      <c r="F3" s="13" t="s">
        <v>32</v>
      </c>
      <c r="G3" s="10" t="b">
        <f t="shared" si="0"/>
        <v>0</v>
      </c>
      <c r="H3" s="11">
        <f t="shared" si="1"/>
        <v>80</v>
      </c>
      <c r="I3" s="12" t="str">
        <f t="shared" si="2"/>
        <v>Fashion</v>
      </c>
      <c r="J3" s="16" t="str">
        <f t="shared" si="3"/>
        <v>15-FEB</v>
      </c>
      <c r="K3" s="10" t="str">
        <f t="shared" ref="K3:K32" si="4">RIGHT(A3,LEN(A3)-7)</f>
        <v>US</v>
      </c>
      <c r="L3" s="10" t="str">
        <f t="shared" ref="L3:L32" si="5">_xlfn.CONCAT(B3," ",C3)</f>
        <v>Sneakers Nike</v>
      </c>
      <c r="M3" s="19">
        <v>80</v>
      </c>
      <c r="N3" s="20">
        <v>46068</v>
      </c>
    </row>
    <row r="4" spans="1:14" x14ac:dyDescent="0.2">
      <c r="A4" s="14" t="s">
        <v>33</v>
      </c>
      <c r="B4" s="14" t="s">
        <v>34</v>
      </c>
      <c r="C4" s="14" t="s">
        <v>35</v>
      </c>
      <c r="D4" s="14">
        <v>130</v>
      </c>
      <c r="E4" s="14">
        <v>40</v>
      </c>
      <c r="F4" s="14" t="s">
        <v>36</v>
      </c>
      <c r="G4" s="10" t="b">
        <f t="shared" si="0"/>
        <v>0</v>
      </c>
      <c r="H4" s="11">
        <f t="shared" si="1"/>
        <v>130</v>
      </c>
      <c r="I4" s="12" t="str">
        <f t="shared" si="2"/>
        <v>Kitchen</v>
      </c>
      <c r="J4" s="15" t="str">
        <f t="shared" si="3"/>
        <v>03-MAR</v>
      </c>
      <c r="K4" s="10" t="str">
        <f t="shared" si="4"/>
        <v>US</v>
      </c>
      <c r="L4" s="10" t="str">
        <f t="shared" si="5"/>
        <v>Coffee Maker Keurig</v>
      </c>
      <c r="M4" s="17">
        <v>130</v>
      </c>
      <c r="N4" s="18">
        <v>46084</v>
      </c>
    </row>
    <row r="5" spans="1:14" x14ac:dyDescent="0.2">
      <c r="A5" s="13" t="s">
        <v>37</v>
      </c>
      <c r="B5" s="13" t="s">
        <v>96</v>
      </c>
      <c r="C5" s="13" t="s">
        <v>39</v>
      </c>
      <c r="D5" s="13">
        <v>900</v>
      </c>
      <c r="E5" s="13">
        <v>25</v>
      </c>
      <c r="F5" s="13" t="s">
        <v>28</v>
      </c>
      <c r="G5" s="10" t="b">
        <f t="shared" si="0"/>
        <v>0</v>
      </c>
      <c r="H5" s="11">
        <f t="shared" si="1"/>
        <v>900</v>
      </c>
      <c r="I5" s="12" t="str">
        <f t="shared" si="2"/>
        <v>Electronics</v>
      </c>
      <c r="J5" s="16" t="str">
        <f t="shared" si="3"/>
        <v>11-APR</v>
      </c>
      <c r="K5" s="10" t="str">
        <f t="shared" si="4"/>
        <v>US</v>
      </c>
      <c r="L5" s="10" t="str">
        <f t="shared" si="5"/>
        <v>Smartphone Samsung</v>
      </c>
      <c r="M5" s="19">
        <v>900</v>
      </c>
      <c r="N5" s="20">
        <v>46123</v>
      </c>
    </row>
    <row r="6" spans="1:14" x14ac:dyDescent="0.2">
      <c r="A6" s="14" t="s">
        <v>40</v>
      </c>
      <c r="B6" s="14" t="s">
        <v>41</v>
      </c>
      <c r="C6" s="14" t="s">
        <v>42</v>
      </c>
      <c r="D6" s="14">
        <v>70</v>
      </c>
      <c r="E6" s="14">
        <v>20</v>
      </c>
      <c r="F6" s="14"/>
      <c r="G6" s="10" t="b">
        <f t="shared" si="0"/>
        <v>0</v>
      </c>
      <c r="H6" s="11">
        <f t="shared" si="1"/>
        <v>70</v>
      </c>
      <c r="I6" s="12" t="str">
        <f t="shared" si="2"/>
        <v>Unknown</v>
      </c>
      <c r="J6" s="15" t="str">
        <f t="shared" si="3"/>
        <v>22-MAY</v>
      </c>
      <c r="K6" s="10" t="str">
        <f t="shared" si="4"/>
        <v>US</v>
      </c>
      <c r="L6" s="10" t="str">
        <f t="shared" si="5"/>
        <v>Backpack North Face</v>
      </c>
      <c r="M6" s="17">
        <v>70</v>
      </c>
      <c r="N6" s="18">
        <v>46164</v>
      </c>
    </row>
    <row r="7" spans="1:14" x14ac:dyDescent="0.2">
      <c r="A7" s="13" t="s">
        <v>43</v>
      </c>
      <c r="B7" s="13" t="s">
        <v>44</v>
      </c>
      <c r="C7" s="13" t="s">
        <v>45</v>
      </c>
      <c r="D7" s="13"/>
      <c r="E7" s="13">
        <v>45</v>
      </c>
      <c r="F7" s="13" t="s">
        <v>28</v>
      </c>
      <c r="G7" s="10" t="b">
        <f t="shared" si="0"/>
        <v>1</v>
      </c>
      <c r="H7" s="11">
        <f t="shared" si="1"/>
        <v>297.85714285714283</v>
      </c>
      <c r="I7" s="12" t="str">
        <f t="shared" si="2"/>
        <v>Electronics</v>
      </c>
      <c r="J7" s="16" t="str">
        <f t="shared" si="3"/>
        <v>07-JUN</v>
      </c>
      <c r="K7" s="10" t="str">
        <f t="shared" si="4"/>
        <v>UK</v>
      </c>
      <c r="L7" s="10" t="str">
        <f t="shared" si="5"/>
        <v>Headphones Sony</v>
      </c>
      <c r="M7" s="19">
        <v>298</v>
      </c>
      <c r="N7" s="20">
        <v>46180</v>
      </c>
    </row>
    <row r="8" spans="1:14" x14ac:dyDescent="0.2">
      <c r="A8" s="14" t="s">
        <v>47</v>
      </c>
      <c r="B8" s="14" t="s">
        <v>48</v>
      </c>
      <c r="C8" s="14" t="s">
        <v>49</v>
      </c>
      <c r="D8" s="14">
        <v>30</v>
      </c>
      <c r="E8" s="14">
        <v>5</v>
      </c>
      <c r="F8" s="14" t="s">
        <v>32</v>
      </c>
      <c r="G8" s="10" t="b">
        <f t="shared" si="0"/>
        <v>0</v>
      </c>
      <c r="H8" s="11">
        <f t="shared" si="1"/>
        <v>30</v>
      </c>
      <c r="I8" s="12" t="str">
        <f t="shared" si="2"/>
        <v>Fashion</v>
      </c>
      <c r="J8" s="15" t="str">
        <f t="shared" si="3"/>
        <v>19-JUL</v>
      </c>
      <c r="K8" s="10" t="str">
        <f t="shared" si="4"/>
        <v>UK</v>
      </c>
      <c r="L8" s="10" t="str">
        <f t="shared" si="5"/>
        <v>T-shirt Adidas</v>
      </c>
      <c r="M8" s="17">
        <v>30</v>
      </c>
      <c r="N8" s="18">
        <v>46222</v>
      </c>
    </row>
    <row r="9" spans="1:14" x14ac:dyDescent="0.2">
      <c r="A9" s="13" t="s">
        <v>50</v>
      </c>
      <c r="B9" s="13" t="s">
        <v>51</v>
      </c>
      <c r="C9" s="13" t="s">
        <v>52</v>
      </c>
      <c r="D9" s="13">
        <v>90</v>
      </c>
      <c r="E9" s="13">
        <v>35</v>
      </c>
      <c r="F9" s="13" t="s">
        <v>36</v>
      </c>
      <c r="G9" s="10" t="b">
        <f t="shared" si="0"/>
        <v>0</v>
      </c>
      <c r="H9" s="11">
        <f t="shared" si="1"/>
        <v>90</v>
      </c>
      <c r="I9" s="12" t="str">
        <f t="shared" si="2"/>
        <v>Kitchen</v>
      </c>
      <c r="J9" s="16" t="str">
        <f t="shared" si="3"/>
        <v>23-AUG</v>
      </c>
      <c r="K9" s="10" t="str">
        <f t="shared" si="4"/>
        <v>UK</v>
      </c>
      <c r="L9" s="10" t="str">
        <f t="shared" si="5"/>
        <v>Blender Ninja</v>
      </c>
      <c r="M9" s="19">
        <v>90</v>
      </c>
      <c r="N9" s="20">
        <v>46257</v>
      </c>
    </row>
    <row r="10" spans="1:14" x14ac:dyDescent="0.2">
      <c r="A10" s="14" t="s">
        <v>53</v>
      </c>
      <c r="B10" s="14" t="s">
        <v>54</v>
      </c>
      <c r="C10" s="14" t="s">
        <v>55</v>
      </c>
      <c r="D10" s="14">
        <v>500</v>
      </c>
      <c r="E10" s="14">
        <v>50</v>
      </c>
      <c r="F10" s="14" t="s">
        <v>28</v>
      </c>
      <c r="G10" s="10" t="b">
        <f t="shared" si="0"/>
        <v>0</v>
      </c>
      <c r="H10" s="11">
        <f t="shared" si="1"/>
        <v>500</v>
      </c>
      <c r="I10" s="12" t="str">
        <f t="shared" si="2"/>
        <v>Electronics</v>
      </c>
      <c r="J10" s="15" t="str">
        <f t="shared" si="3"/>
        <v>05-SEP</v>
      </c>
      <c r="K10" s="10" t="str">
        <f t="shared" si="4"/>
        <v>UK</v>
      </c>
      <c r="L10" s="10" t="str">
        <f t="shared" si="5"/>
        <v>Tablet Apple</v>
      </c>
      <c r="M10" s="17">
        <v>500</v>
      </c>
      <c r="N10" s="18">
        <v>46270</v>
      </c>
    </row>
    <row r="11" spans="1:14" x14ac:dyDescent="0.2">
      <c r="A11" s="13" t="s">
        <v>56</v>
      </c>
      <c r="B11" s="13" t="s">
        <v>57</v>
      </c>
      <c r="C11" s="13" t="s">
        <v>58</v>
      </c>
      <c r="D11" s="13">
        <v>130</v>
      </c>
      <c r="E11" s="13">
        <v>10</v>
      </c>
      <c r="F11" s="13" t="s">
        <v>59</v>
      </c>
      <c r="G11" s="10" t="b">
        <f t="shared" si="0"/>
        <v>0</v>
      </c>
      <c r="H11" s="11">
        <f t="shared" si="1"/>
        <v>130</v>
      </c>
      <c r="I11" s="12" t="str">
        <f t="shared" si="2"/>
        <v>Outdoor</v>
      </c>
      <c r="J11" s="16" t="str">
        <f t="shared" si="3"/>
        <v>14-OCT</v>
      </c>
      <c r="K11" s="10" t="str">
        <f t="shared" si="4"/>
        <v>UK</v>
      </c>
      <c r="L11" s="10" t="str">
        <f t="shared" si="5"/>
        <v>Hiking Boots Timberland</v>
      </c>
      <c r="M11" s="19">
        <v>130</v>
      </c>
      <c r="N11" s="20">
        <v>46309</v>
      </c>
    </row>
    <row r="12" spans="1:14" x14ac:dyDescent="0.2">
      <c r="A12" s="14" t="s">
        <v>60</v>
      </c>
      <c r="B12" s="14" t="s">
        <v>61</v>
      </c>
      <c r="C12" s="14" t="s">
        <v>62</v>
      </c>
      <c r="D12" s="14">
        <v>950</v>
      </c>
      <c r="E12" s="14">
        <v>25</v>
      </c>
      <c r="F12" s="14" t="s">
        <v>28</v>
      </c>
      <c r="G12" s="10" t="b">
        <f t="shared" si="0"/>
        <v>0</v>
      </c>
      <c r="H12" s="11">
        <f t="shared" si="1"/>
        <v>950</v>
      </c>
      <c r="I12" s="12" t="str">
        <f t="shared" si="2"/>
        <v>Electronics</v>
      </c>
      <c r="J12" s="15" t="str">
        <f t="shared" si="3"/>
        <v>17-JUN</v>
      </c>
      <c r="K12" s="10" t="str">
        <f t="shared" si="4"/>
        <v>IN</v>
      </c>
      <c r="L12" s="10" t="str">
        <f t="shared" si="5"/>
        <v>Laptop HP</v>
      </c>
      <c r="M12" s="17">
        <v>950</v>
      </c>
      <c r="N12" s="18">
        <v>46190</v>
      </c>
    </row>
    <row r="13" spans="1:14" x14ac:dyDescent="0.2">
      <c r="A13" s="13" t="s">
        <v>63</v>
      </c>
      <c r="B13" s="13" t="s">
        <v>30</v>
      </c>
      <c r="C13" s="13" t="s">
        <v>49</v>
      </c>
      <c r="D13" s="13">
        <v>90</v>
      </c>
      <c r="E13" s="13">
        <v>40</v>
      </c>
      <c r="F13" s="13"/>
      <c r="G13" s="10" t="b">
        <f t="shared" si="0"/>
        <v>0</v>
      </c>
      <c r="H13" s="11">
        <f t="shared" si="1"/>
        <v>90</v>
      </c>
      <c r="I13" s="12" t="str">
        <f t="shared" si="2"/>
        <v>Unknown</v>
      </c>
      <c r="J13" s="16" t="str">
        <f t="shared" si="3"/>
        <v>25-NOV</v>
      </c>
      <c r="K13" s="10" t="str">
        <f t="shared" si="4"/>
        <v>AU</v>
      </c>
      <c r="L13" s="10" t="str">
        <f t="shared" si="5"/>
        <v>Sneakers Adidas</v>
      </c>
      <c r="M13" s="19">
        <v>90</v>
      </c>
      <c r="N13" s="20">
        <v>46351</v>
      </c>
    </row>
    <row r="14" spans="1:14" x14ac:dyDescent="0.2">
      <c r="A14" s="14" t="s">
        <v>64</v>
      </c>
      <c r="B14" s="14" t="s">
        <v>34</v>
      </c>
      <c r="C14" s="14" t="s">
        <v>65</v>
      </c>
      <c r="D14" s="14">
        <v>120</v>
      </c>
      <c r="E14" s="14">
        <v>35</v>
      </c>
      <c r="F14" s="14"/>
      <c r="G14" s="10" t="b">
        <f t="shared" si="0"/>
        <v>0</v>
      </c>
      <c r="H14" s="11">
        <f t="shared" si="1"/>
        <v>120</v>
      </c>
      <c r="I14" s="12" t="str">
        <f t="shared" si="2"/>
        <v>Unknown</v>
      </c>
      <c r="J14" s="15" t="str">
        <f t="shared" si="3"/>
        <v>08-DEC</v>
      </c>
      <c r="K14" s="10" t="str">
        <f t="shared" si="4"/>
        <v>DE</v>
      </c>
      <c r="L14" s="10" t="str">
        <f t="shared" si="5"/>
        <v>Coffee Maker Nespresso</v>
      </c>
      <c r="M14" s="17">
        <v>120</v>
      </c>
      <c r="N14" s="18">
        <v>46364</v>
      </c>
    </row>
    <row r="15" spans="1:14" x14ac:dyDescent="0.2">
      <c r="A15" s="13" t="s">
        <v>66</v>
      </c>
      <c r="B15" s="13" t="s">
        <v>67</v>
      </c>
      <c r="C15" s="13" t="s">
        <v>68</v>
      </c>
      <c r="D15" s="13">
        <v>150</v>
      </c>
      <c r="E15" s="13">
        <v>15</v>
      </c>
      <c r="F15" s="13" t="s">
        <v>28</v>
      </c>
      <c r="G15" s="10" t="b">
        <f t="shared" si="0"/>
        <v>0</v>
      </c>
      <c r="H15" s="11">
        <f t="shared" si="1"/>
        <v>150</v>
      </c>
      <c r="I15" s="12" t="str">
        <f t="shared" si="2"/>
        <v>Electronics</v>
      </c>
      <c r="J15" s="16" t="str">
        <f t="shared" si="3"/>
        <v>18-FEB</v>
      </c>
      <c r="K15" s="10" t="str">
        <f t="shared" si="4"/>
        <v>CA</v>
      </c>
      <c r="L15" s="10" t="str">
        <f t="shared" si="5"/>
        <v>Smartwatch Fitbit</v>
      </c>
      <c r="M15" s="19">
        <v>150</v>
      </c>
      <c r="N15" s="20">
        <v>46071</v>
      </c>
    </row>
    <row r="16" spans="1:14" x14ac:dyDescent="0.2">
      <c r="A16" s="14" t="s">
        <v>69</v>
      </c>
      <c r="B16" s="14" t="s">
        <v>44</v>
      </c>
      <c r="C16" s="14" t="s">
        <v>71</v>
      </c>
      <c r="D16" s="14">
        <v>250</v>
      </c>
      <c r="E16" s="14">
        <v>20</v>
      </c>
      <c r="F16" s="14" t="s">
        <v>28</v>
      </c>
      <c r="G16" s="10" t="b">
        <f t="shared" si="0"/>
        <v>0</v>
      </c>
      <c r="H16" s="11">
        <f t="shared" si="1"/>
        <v>250</v>
      </c>
      <c r="I16" s="12" t="str">
        <f t="shared" si="2"/>
        <v>Electronics</v>
      </c>
      <c r="J16" s="15" t="str">
        <f t="shared" si="3"/>
        <v>16-APR</v>
      </c>
      <c r="K16" s="10" t="str">
        <f t="shared" si="4"/>
        <v>ES</v>
      </c>
      <c r="L16" s="10" t="str">
        <f t="shared" si="5"/>
        <v>Headphones Bose</v>
      </c>
      <c r="M16" s="17">
        <v>250</v>
      </c>
      <c r="N16" s="18">
        <v>46128</v>
      </c>
    </row>
    <row r="17" spans="1:14" x14ac:dyDescent="0.2">
      <c r="A17" s="13" t="s">
        <v>72</v>
      </c>
      <c r="B17" s="13" t="s">
        <v>73</v>
      </c>
      <c r="C17" s="13" t="s">
        <v>74</v>
      </c>
      <c r="D17" s="13">
        <v>50</v>
      </c>
      <c r="E17" s="13">
        <v>35</v>
      </c>
      <c r="F17" s="13" t="s">
        <v>75</v>
      </c>
      <c r="G17" s="10" t="b">
        <f t="shared" si="0"/>
        <v>0</v>
      </c>
      <c r="H17" s="11">
        <f t="shared" si="1"/>
        <v>50</v>
      </c>
      <c r="I17" s="12" t="str">
        <f t="shared" si="2"/>
        <v>Accessories</v>
      </c>
      <c r="J17" s="16" t="str">
        <f t="shared" si="3"/>
        <v>21-AUG</v>
      </c>
      <c r="K17" s="10" t="str">
        <f t="shared" si="4"/>
        <v>CA</v>
      </c>
      <c r="L17" s="10" t="str">
        <f t="shared" si="5"/>
        <v>Laptop Bag Samsonite</v>
      </c>
      <c r="M17" s="19">
        <v>50</v>
      </c>
      <c r="N17" s="20">
        <v>46255</v>
      </c>
    </row>
    <row r="18" spans="1:14" x14ac:dyDescent="0.2">
      <c r="A18" s="14" t="s">
        <v>76</v>
      </c>
      <c r="B18" s="14" t="s">
        <v>67</v>
      </c>
      <c r="C18" s="14" t="s">
        <v>77</v>
      </c>
      <c r="D18" s="14">
        <v>160</v>
      </c>
      <c r="E18" s="14">
        <v>15</v>
      </c>
      <c r="F18" s="14" t="s">
        <v>28</v>
      </c>
      <c r="G18" s="10" t="b">
        <f t="shared" si="0"/>
        <v>0</v>
      </c>
      <c r="H18" s="11">
        <f t="shared" si="1"/>
        <v>160</v>
      </c>
      <c r="I18" s="12" t="str">
        <f t="shared" si="2"/>
        <v>Electronics</v>
      </c>
      <c r="J18" s="15" t="str">
        <f t="shared" si="3"/>
        <v>20-AUG</v>
      </c>
      <c r="K18" s="10" t="str">
        <f t="shared" si="4"/>
        <v>CN</v>
      </c>
      <c r="L18" s="10" t="str">
        <f t="shared" si="5"/>
        <v>Smartwatch Huawei</v>
      </c>
      <c r="M18" s="17">
        <v>160</v>
      </c>
      <c r="N18" s="18">
        <v>46254</v>
      </c>
    </row>
    <row r="19" spans="1:14" x14ac:dyDescent="0.2">
      <c r="A19" s="13" t="s">
        <v>78</v>
      </c>
      <c r="B19" s="13" t="s">
        <v>61</v>
      </c>
      <c r="C19" s="13" t="s">
        <v>79</v>
      </c>
      <c r="D19" s="13">
        <v>980</v>
      </c>
      <c r="E19" s="13">
        <v>10</v>
      </c>
      <c r="F19" s="13" t="s">
        <v>28</v>
      </c>
      <c r="G19" s="10" t="b">
        <f t="shared" si="0"/>
        <v>0</v>
      </c>
      <c r="H19" s="11">
        <f t="shared" si="1"/>
        <v>980</v>
      </c>
      <c r="I19" s="12" t="str">
        <f t="shared" si="2"/>
        <v>Electronics</v>
      </c>
      <c r="J19" s="16" t="str">
        <f t="shared" si="3"/>
        <v>27-JAN</v>
      </c>
      <c r="K19" s="10" t="str">
        <f t="shared" si="4"/>
        <v>IT</v>
      </c>
      <c r="L19" s="10" t="str">
        <f t="shared" si="5"/>
        <v>Laptop Asus</v>
      </c>
      <c r="M19" s="19">
        <v>980</v>
      </c>
      <c r="N19" s="20">
        <v>46049</v>
      </c>
    </row>
    <row r="20" spans="1:14" x14ac:dyDescent="0.2">
      <c r="A20" s="14" t="s">
        <v>80</v>
      </c>
      <c r="B20" s="14" t="s">
        <v>81</v>
      </c>
      <c r="C20" s="14" t="s">
        <v>82</v>
      </c>
      <c r="D20" s="14">
        <v>150</v>
      </c>
      <c r="E20" s="14">
        <v>15</v>
      </c>
      <c r="F20" s="14" t="s">
        <v>32</v>
      </c>
      <c r="G20" s="10" t="b">
        <f t="shared" si="0"/>
        <v>0</v>
      </c>
      <c r="H20" s="11">
        <f t="shared" si="1"/>
        <v>150</v>
      </c>
      <c r="I20" s="12" t="str">
        <f t="shared" si="2"/>
        <v>Fashion</v>
      </c>
      <c r="J20" s="15" t="str">
        <f t="shared" si="3"/>
        <v>01-MAR</v>
      </c>
      <c r="K20" s="10" t="str">
        <f t="shared" si="4"/>
        <v>UK</v>
      </c>
      <c r="L20" s="10" t="str">
        <f t="shared" si="5"/>
        <v>Sunglasses Oakley</v>
      </c>
      <c r="M20" s="17">
        <v>150</v>
      </c>
      <c r="N20" s="18">
        <v>46082</v>
      </c>
    </row>
    <row r="21" spans="1:14" x14ac:dyDescent="0.2">
      <c r="A21" s="13" t="s">
        <v>83</v>
      </c>
      <c r="B21" s="13" t="s">
        <v>84</v>
      </c>
      <c r="C21" s="13" t="s">
        <v>85</v>
      </c>
      <c r="D21" s="13"/>
      <c r="E21" s="13">
        <v>10</v>
      </c>
      <c r="F21" s="13" t="s">
        <v>59</v>
      </c>
      <c r="G21" s="10" t="b">
        <f t="shared" si="0"/>
        <v>1</v>
      </c>
      <c r="H21" s="11">
        <f t="shared" si="1"/>
        <v>297.85714285714283</v>
      </c>
      <c r="I21" s="12" t="str">
        <f t="shared" si="2"/>
        <v>Outdoor</v>
      </c>
      <c r="J21" s="16" t="str">
        <f t="shared" si="3"/>
        <v>14-AUG</v>
      </c>
      <c r="K21" s="10" t="str">
        <f t="shared" si="4"/>
        <v>US</v>
      </c>
      <c r="L21" s="10" t="str">
        <f t="shared" si="5"/>
        <v>Camping Tent Coleman</v>
      </c>
      <c r="M21" s="19">
        <v>298</v>
      </c>
      <c r="N21" s="20">
        <v>46248</v>
      </c>
    </row>
    <row r="22" spans="1:14" x14ac:dyDescent="0.2">
      <c r="A22" s="14" t="s">
        <v>86</v>
      </c>
      <c r="B22" s="14" t="s">
        <v>87</v>
      </c>
      <c r="C22" s="14" t="s">
        <v>88</v>
      </c>
      <c r="D22" s="14">
        <v>700</v>
      </c>
      <c r="E22" s="14">
        <v>50</v>
      </c>
      <c r="F22" s="14" t="s">
        <v>28</v>
      </c>
      <c r="G22" s="10" t="b">
        <f t="shared" si="0"/>
        <v>0</v>
      </c>
      <c r="H22" s="11">
        <f t="shared" si="1"/>
        <v>700</v>
      </c>
      <c r="I22" s="12" t="str">
        <f t="shared" si="2"/>
        <v>Electronics</v>
      </c>
      <c r="J22" s="15" t="str">
        <f t="shared" si="3"/>
        <v>14-MAY</v>
      </c>
      <c r="K22" s="10" t="str">
        <f t="shared" si="4"/>
        <v>RU</v>
      </c>
      <c r="L22" s="10" t="str">
        <f t="shared" si="5"/>
        <v>Camera Nikon</v>
      </c>
      <c r="M22" s="17">
        <v>700</v>
      </c>
      <c r="N22" s="18">
        <v>46156</v>
      </c>
    </row>
    <row r="23" spans="1:14" x14ac:dyDescent="0.2">
      <c r="A23" s="13" t="s">
        <v>89</v>
      </c>
      <c r="B23" s="13" t="s">
        <v>90</v>
      </c>
      <c r="C23" s="13" t="s">
        <v>91</v>
      </c>
      <c r="D23" s="13">
        <v>80</v>
      </c>
      <c r="E23" s="13">
        <v>20</v>
      </c>
      <c r="F23" s="13" t="s">
        <v>36</v>
      </c>
      <c r="G23" s="10" t="b">
        <f t="shared" si="0"/>
        <v>0</v>
      </c>
      <c r="H23" s="11">
        <f t="shared" si="1"/>
        <v>80</v>
      </c>
      <c r="I23" s="12" t="str">
        <f t="shared" si="2"/>
        <v>Kitchen</v>
      </c>
      <c r="J23" s="16" t="str">
        <f t="shared" si="3"/>
        <v>09-JAN</v>
      </c>
      <c r="K23" s="10" t="str">
        <f t="shared" si="4"/>
        <v>CA</v>
      </c>
      <c r="L23" s="10" t="str">
        <f t="shared" si="5"/>
        <v>Microwave Panasonic</v>
      </c>
      <c r="M23" s="19">
        <v>80</v>
      </c>
      <c r="N23" s="20">
        <v>46031</v>
      </c>
    </row>
    <row r="24" spans="1:14" x14ac:dyDescent="0.2">
      <c r="A24" s="14" t="s">
        <v>92</v>
      </c>
      <c r="B24" s="14" t="s">
        <v>93</v>
      </c>
      <c r="C24" s="14" t="s">
        <v>94</v>
      </c>
      <c r="D24" s="14">
        <v>150</v>
      </c>
      <c r="E24" s="14">
        <v>30</v>
      </c>
      <c r="F24" s="14"/>
      <c r="G24" s="10" t="b">
        <f t="shared" si="0"/>
        <v>0</v>
      </c>
      <c r="H24" s="11">
        <f t="shared" si="1"/>
        <v>150</v>
      </c>
      <c r="I24" s="12" t="str">
        <f t="shared" si="2"/>
        <v>Unknown</v>
      </c>
      <c r="J24" s="15" t="str">
        <f t="shared" si="3"/>
        <v>19-JUL</v>
      </c>
      <c r="K24" s="10" t="str">
        <f t="shared" si="4"/>
        <v>BR</v>
      </c>
      <c r="L24" s="10" t="str">
        <f t="shared" si="5"/>
        <v>Fitness Tracker Xiaomi</v>
      </c>
      <c r="M24" s="17">
        <v>150</v>
      </c>
      <c r="N24" s="18">
        <v>46222</v>
      </c>
    </row>
    <row r="25" spans="1:14" x14ac:dyDescent="0.2">
      <c r="A25" s="14" t="s">
        <v>95</v>
      </c>
      <c r="B25" s="14" t="s">
        <v>96</v>
      </c>
      <c r="C25" s="14" t="s">
        <v>97</v>
      </c>
      <c r="D25" s="14">
        <v>800</v>
      </c>
      <c r="E25" s="14">
        <v>45</v>
      </c>
      <c r="F25" s="14" t="s">
        <v>28</v>
      </c>
      <c r="G25" s="10" t="b">
        <f t="shared" si="0"/>
        <v>0</v>
      </c>
      <c r="H25" s="11">
        <f t="shared" si="1"/>
        <v>800</v>
      </c>
      <c r="I25" s="12" t="str">
        <f t="shared" si="2"/>
        <v>Electronics</v>
      </c>
      <c r="J25" s="16" t="str">
        <f t="shared" si="3"/>
        <v>29-SEP</v>
      </c>
      <c r="K25" s="10" t="str">
        <f t="shared" si="4"/>
        <v>CA</v>
      </c>
      <c r="L25" s="10" t="str">
        <f t="shared" si="5"/>
        <v>Smartphone Google</v>
      </c>
      <c r="M25" s="17">
        <v>800</v>
      </c>
      <c r="N25" s="20">
        <v>46294</v>
      </c>
    </row>
    <row r="26" spans="1:14" x14ac:dyDescent="0.2">
      <c r="A26" s="13" t="s">
        <v>98</v>
      </c>
      <c r="B26" s="13" t="s">
        <v>81</v>
      </c>
      <c r="C26" s="13" t="s">
        <v>99</v>
      </c>
      <c r="D26" s="13"/>
      <c r="E26" s="13">
        <v>25</v>
      </c>
      <c r="F26" s="13" t="s">
        <v>32</v>
      </c>
      <c r="G26" s="10" t="b">
        <f t="shared" si="0"/>
        <v>1</v>
      </c>
      <c r="H26" s="11">
        <f t="shared" si="1"/>
        <v>297.85714285714283</v>
      </c>
      <c r="I26" s="12" t="str">
        <f t="shared" si="2"/>
        <v>Fashion</v>
      </c>
      <c r="J26" s="15" t="str">
        <f t="shared" si="3"/>
        <v>03-JUN</v>
      </c>
      <c r="K26" s="10" t="str">
        <f t="shared" si="4"/>
        <v>CA</v>
      </c>
      <c r="L26" s="10" t="str">
        <f t="shared" si="5"/>
        <v>Sunglasses Ray-Ban</v>
      </c>
      <c r="M26" s="19">
        <v>298</v>
      </c>
      <c r="N26" s="18">
        <v>46176</v>
      </c>
    </row>
    <row r="27" spans="1:14" x14ac:dyDescent="0.2">
      <c r="A27" s="14" t="s">
        <v>100</v>
      </c>
      <c r="B27" s="14" t="s">
        <v>51</v>
      </c>
      <c r="C27" s="14" t="s">
        <v>101</v>
      </c>
      <c r="D27" s="14">
        <v>400</v>
      </c>
      <c r="E27" s="14">
        <v>40</v>
      </c>
      <c r="F27" s="14" t="s">
        <v>36</v>
      </c>
      <c r="G27" s="10" t="b">
        <f t="shared" si="0"/>
        <v>0</v>
      </c>
      <c r="H27" s="11">
        <f t="shared" si="1"/>
        <v>400</v>
      </c>
      <c r="I27" s="12" t="str">
        <f t="shared" si="2"/>
        <v>Kitchen</v>
      </c>
      <c r="J27" s="16" t="str">
        <f t="shared" si="3"/>
        <v>11-JUL</v>
      </c>
      <c r="K27" s="10" t="str">
        <f t="shared" si="4"/>
        <v>CA</v>
      </c>
      <c r="L27" s="10" t="str">
        <f t="shared" si="5"/>
        <v>Blender Vitamix</v>
      </c>
      <c r="M27" s="17">
        <v>400</v>
      </c>
      <c r="N27" s="20">
        <v>46214</v>
      </c>
    </row>
    <row r="28" spans="1:14" x14ac:dyDescent="0.2">
      <c r="A28" s="14" t="s">
        <v>102</v>
      </c>
      <c r="B28" s="14" t="s">
        <v>103</v>
      </c>
      <c r="C28" s="14" t="s">
        <v>104</v>
      </c>
      <c r="D28" s="14">
        <v>60</v>
      </c>
      <c r="E28" s="14">
        <v>30</v>
      </c>
      <c r="F28" s="14" t="s">
        <v>32</v>
      </c>
      <c r="G28" s="10" t="b">
        <f t="shared" si="0"/>
        <v>0</v>
      </c>
      <c r="H28" s="11">
        <f t="shared" si="1"/>
        <v>60</v>
      </c>
      <c r="I28" s="12" t="str">
        <f t="shared" si="2"/>
        <v>Fashion</v>
      </c>
      <c r="J28" s="15" t="str">
        <f t="shared" si="3"/>
        <v>07-MAR</v>
      </c>
      <c r="K28" s="10" t="str">
        <f t="shared" si="4"/>
        <v>CA</v>
      </c>
      <c r="L28" s="10" t="str">
        <f t="shared" si="5"/>
        <v>Dress Zara</v>
      </c>
      <c r="M28" s="17">
        <v>60</v>
      </c>
      <c r="N28" s="18">
        <v>46088</v>
      </c>
    </row>
    <row r="29" spans="1:14" x14ac:dyDescent="0.2">
      <c r="A29" s="13" t="s">
        <v>105</v>
      </c>
      <c r="B29" s="13" t="s">
        <v>106</v>
      </c>
      <c r="C29" s="13" t="s">
        <v>107</v>
      </c>
      <c r="D29" s="13">
        <v>40</v>
      </c>
      <c r="E29" s="13">
        <v>10</v>
      </c>
      <c r="F29" s="13" t="s">
        <v>36</v>
      </c>
      <c r="G29" s="10" t="b">
        <f t="shared" si="0"/>
        <v>0</v>
      </c>
      <c r="H29" s="11">
        <f t="shared" si="1"/>
        <v>40</v>
      </c>
      <c r="I29" s="12" t="str">
        <f t="shared" si="2"/>
        <v>Kitchen</v>
      </c>
      <c r="J29" s="16" t="str">
        <f t="shared" si="3"/>
        <v>13-APR</v>
      </c>
      <c r="K29" s="10" t="str">
        <f t="shared" si="4"/>
        <v>CA</v>
      </c>
      <c r="L29" s="10" t="str">
        <f t="shared" si="5"/>
        <v>Toaster Hamilton</v>
      </c>
      <c r="M29" s="19">
        <v>40</v>
      </c>
      <c r="N29" s="20">
        <v>46125</v>
      </c>
    </row>
    <row r="30" spans="1:14" x14ac:dyDescent="0.2">
      <c r="A30" s="14" t="s">
        <v>108</v>
      </c>
      <c r="B30" s="14" t="s">
        <v>93</v>
      </c>
      <c r="C30" s="14" t="s">
        <v>109</v>
      </c>
      <c r="D30" s="14">
        <v>130</v>
      </c>
      <c r="E30" s="14">
        <v>5</v>
      </c>
      <c r="F30" s="14" t="s">
        <v>28</v>
      </c>
      <c r="G30" s="10" t="b">
        <f t="shared" si="0"/>
        <v>0</v>
      </c>
      <c r="H30" s="11">
        <f t="shared" si="1"/>
        <v>130</v>
      </c>
      <c r="I30" s="12" t="str">
        <f t="shared" si="2"/>
        <v>Electronics</v>
      </c>
      <c r="J30" s="15" t="str">
        <f t="shared" si="3"/>
        <v>24-MAY</v>
      </c>
      <c r="K30" s="10" t="str">
        <f t="shared" si="4"/>
        <v>CA</v>
      </c>
      <c r="L30" s="10" t="str">
        <f t="shared" si="5"/>
        <v>Fitness Tracker Garmin</v>
      </c>
      <c r="M30" s="17">
        <v>130</v>
      </c>
      <c r="N30" s="18">
        <v>46166</v>
      </c>
    </row>
    <row r="31" spans="1:14" x14ac:dyDescent="0.2">
      <c r="A31" s="13" t="s">
        <v>110</v>
      </c>
      <c r="B31" s="13" t="s">
        <v>111</v>
      </c>
      <c r="C31" s="13" t="s">
        <v>112</v>
      </c>
      <c r="D31" s="13">
        <v>50</v>
      </c>
      <c r="E31" s="13">
        <v>50</v>
      </c>
      <c r="F31" s="13" t="s">
        <v>32</v>
      </c>
      <c r="G31" s="10" t="b">
        <f t="shared" si="0"/>
        <v>0</v>
      </c>
      <c r="H31" s="11">
        <f t="shared" si="1"/>
        <v>50</v>
      </c>
      <c r="I31" s="12" t="str">
        <f t="shared" si="2"/>
        <v>Fashion</v>
      </c>
      <c r="J31" s="16" t="str">
        <f t="shared" si="3"/>
        <v>02-DEC</v>
      </c>
      <c r="K31" s="10" t="str">
        <f t="shared" si="4"/>
        <v>CA</v>
      </c>
      <c r="L31" s="10" t="str">
        <f t="shared" si="5"/>
        <v>Jeans Levi's</v>
      </c>
      <c r="M31" s="19">
        <v>50</v>
      </c>
      <c r="N31" s="20">
        <v>46358</v>
      </c>
    </row>
    <row r="32" spans="1:14" x14ac:dyDescent="0.2">
      <c r="A32" s="13" t="s">
        <v>113</v>
      </c>
      <c r="B32" s="13" t="s">
        <v>114</v>
      </c>
      <c r="C32" s="13" t="s">
        <v>115</v>
      </c>
      <c r="D32" s="13">
        <v>100</v>
      </c>
      <c r="E32" s="13">
        <v>20</v>
      </c>
      <c r="F32" s="13" t="s">
        <v>75</v>
      </c>
      <c r="G32" s="10" t="b">
        <f t="shared" si="0"/>
        <v>0</v>
      </c>
      <c r="H32" s="11">
        <f t="shared" si="1"/>
        <v>100</v>
      </c>
      <c r="I32" s="12" t="str">
        <f t="shared" si="2"/>
        <v>Accessories</v>
      </c>
      <c r="J32" s="15" t="str">
        <f t="shared" si="3"/>
        <v>09-JUL</v>
      </c>
      <c r="K32" s="10" t="str">
        <f t="shared" si="4"/>
        <v>FR</v>
      </c>
      <c r="L32" s="10" t="str">
        <f t="shared" si="5"/>
        <v>Watch Casio</v>
      </c>
      <c r="M32" s="19">
        <v>100</v>
      </c>
      <c r="N32" s="18">
        <v>46212</v>
      </c>
    </row>
    <row r="34" spans="2:14" x14ac:dyDescent="0.2">
      <c r="B34" s="24" t="s">
        <v>130</v>
      </c>
      <c r="G34" s="22" t="s">
        <v>128</v>
      </c>
      <c r="H34" s="22" t="s">
        <v>129</v>
      </c>
      <c r="I34" s="22" t="s">
        <v>131</v>
      </c>
      <c r="J34" s="22" t="s">
        <v>132</v>
      </c>
      <c r="K34" s="22" t="s">
        <v>132</v>
      </c>
      <c r="L34" s="22" t="s">
        <v>132</v>
      </c>
      <c r="M34" s="22" t="s">
        <v>133</v>
      </c>
      <c r="N34" s="22" t="s">
        <v>133</v>
      </c>
    </row>
    <row r="35" spans="2:14" x14ac:dyDescent="0.2">
      <c r="I35" s="23"/>
      <c r="J35" s="22" t="s">
        <v>126</v>
      </c>
      <c r="K35" s="22" t="s">
        <v>125</v>
      </c>
      <c r="L35" s="22" t="s">
        <v>124</v>
      </c>
      <c r="M35" s="22"/>
      <c r="N35" s="22" t="s">
        <v>123</v>
      </c>
    </row>
    <row r="36" spans="2:14" x14ac:dyDescent="0.2">
      <c r="I36" s="23"/>
    </row>
    <row r="37" spans="2:14" x14ac:dyDescent="0.2">
      <c r="I37" s="22" t="s">
        <v>127</v>
      </c>
    </row>
  </sheetData>
  <mergeCells count="1">
    <mergeCell ref="I35:I36"/>
  </mergeCells>
  <conditionalFormatting sqref="H2:H3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{9B6208B7-2599-485C-94ED-CC88C55C9E90}</x14:id>
        </ext>
      </extLst>
    </cfRule>
  </conditionalFormatting>
  <conditionalFormatting sqref="F2:F32">
    <cfRule type="expression" dxfId="1" priority="2">
      <formula>$F$2</formula>
    </cfRule>
  </conditionalFormatting>
  <conditionalFormatting sqref="I2:I32">
    <cfRule type="expression" dxfId="0" priority="1">
      <formula>$I2="Electronics"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6208B7-2599-485C-94ED-CC88C55C9E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1C1918-C041-43BE-AD6F-5CC71A0EC9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</dc:creator>
  <cp:lastModifiedBy>CYBER</cp:lastModifiedBy>
  <dcterms:created xsi:type="dcterms:W3CDTF">2026-10-10T17:42:04Z</dcterms:created>
  <dcterms:modified xsi:type="dcterms:W3CDTF">2026-10-15T10:18:37Z</dcterms:modified>
</cp:coreProperties>
</file>